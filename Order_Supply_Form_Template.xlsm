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730" codeName="{B08E4597-CF32-672E-EC9B-63DB714DCB7F}"/>
  <workbookPr codeName="ThisWorkbook" hidePivotFieldList="1" defaultThemeVersion="166925"/>
  <mc:AlternateContent xmlns:mc="http://schemas.openxmlformats.org/markup-compatibility/2006">
    <mc:Choice Requires="x15">
      <x15ac:absPath xmlns:x15ac="http://schemas.microsoft.com/office/spreadsheetml/2010/11/ac" url="C:\Users\Sean Wiin\Desktop\"/>
    </mc:Choice>
  </mc:AlternateContent>
  <xr:revisionPtr revIDLastSave="0" documentId="13_ncr:1_{41764D20-0B10-48BB-823D-E0BB7976D561}" xr6:coauthVersionLast="45" xr6:coauthVersionMax="45" xr10:uidLastSave="{00000000-0000-0000-0000-000000000000}"/>
  <bookViews>
    <workbookView xWindow="-120" yWindow="-120" windowWidth="29040" windowHeight="15840" xr2:uid="{CE48A8D2-F983-4325-A3E7-8F9FA0D9B78A}"/>
  </bookViews>
  <sheets>
    <sheet name="Report" sheetId="4" r:id="rId1"/>
    <sheet name="Data" sheetId="1" r:id="rId2"/>
    <sheet name="Pivot_Department_Cost" sheetId="6" state="hidden" r:id="rId3"/>
    <sheet name="Options" sheetId="2" state="hidden" r:id="rId4"/>
    <sheet name="Engine" sheetId="3" state="hidden" r:id="rId5"/>
  </sheets>
  <definedNames>
    <definedName name="_xlnm._FilterDatabase" localSheetId="2" hidden="1">Pivot_Department_Cost!$A$16:$B$20</definedName>
    <definedName name="Data_Start">Table1[[#Headers],[Ref]]</definedName>
    <definedName name="Slicer_Department">#N/A</definedName>
    <definedName name="Slicer_Submitted_Time">#N/A</definedName>
    <definedName name="Slicer_Vendor">#N/A</definedName>
  </definedNames>
  <calcPr calcId="191029"/>
  <pivotCaches>
    <pivotCache cacheId="234"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14" i="1" l="1"/>
  <c r="N13" i="1"/>
  <c r="N12" i="1"/>
  <c r="N11" i="1" l="1"/>
  <c r="N10" i="1"/>
  <c r="N6" i="1"/>
  <c r="N7" i="1"/>
  <c r="N8" i="1"/>
  <c r="N9" i="1"/>
  <c r="C3" i="3" l="1"/>
</calcChain>
</file>

<file path=xl/sharedStrings.xml><?xml version="1.0" encoding="utf-8"?>
<sst xmlns="http://schemas.openxmlformats.org/spreadsheetml/2006/main" count="121" uniqueCount="72">
  <si>
    <t>Order Supply Form</t>
  </si>
  <si>
    <t>Ref</t>
  </si>
  <si>
    <t>Department</t>
  </si>
  <si>
    <t>First Name</t>
  </si>
  <si>
    <t>Last Name</t>
  </si>
  <si>
    <t>Item Name</t>
  </si>
  <si>
    <t>Item Number</t>
  </si>
  <si>
    <t>Item Description</t>
  </si>
  <si>
    <t>Quantity</t>
  </si>
  <si>
    <t>Unit of Measure</t>
  </si>
  <si>
    <t>Vendor</t>
  </si>
  <si>
    <t>Each</t>
  </si>
  <si>
    <t>Price Per Item</t>
  </si>
  <si>
    <t>Unit of measure</t>
  </si>
  <si>
    <t>Counts amount of records (minus the header, which is -1)</t>
  </si>
  <si>
    <t>Submitted Time</t>
  </si>
  <si>
    <t>KALE</t>
  </si>
  <si>
    <t>POLE</t>
  </si>
  <si>
    <t>FRIES</t>
  </si>
  <si>
    <t>FERNCH FRY</t>
  </si>
  <si>
    <t>COSTOCO</t>
  </si>
  <si>
    <t>EACH</t>
  </si>
  <si>
    <t>PALLET</t>
  </si>
  <si>
    <t>PEANUT</t>
  </si>
  <si>
    <t>BUTTER</t>
  </si>
  <si>
    <t>SANDWICH</t>
  </si>
  <si>
    <t>U93991</t>
  </si>
  <si>
    <t>COWZONE</t>
  </si>
  <si>
    <t>KAKNE</t>
  </si>
  <si>
    <t>OPER</t>
  </si>
  <si>
    <t>INDEX CARDS</t>
  </si>
  <si>
    <t>O93941</t>
  </si>
  <si>
    <t>UNRULED INDEX CARDS</t>
  </si>
  <si>
    <t>Total</t>
  </si>
  <si>
    <t>POP</t>
  </si>
  <si>
    <t>LOOP</t>
  </si>
  <si>
    <t>SCISSORS</t>
  </si>
  <si>
    <t>CUTTING AID</t>
  </si>
  <si>
    <t>AMAZON</t>
  </si>
  <si>
    <t>IAN</t>
  </si>
  <si>
    <t>CARR</t>
  </si>
  <si>
    <t>WIRES</t>
  </si>
  <si>
    <t>WIRES FOR COMPUTERS</t>
  </si>
  <si>
    <t>Department 1</t>
  </si>
  <si>
    <t>Department 2</t>
  </si>
  <si>
    <t>Department 3</t>
  </si>
  <si>
    <t>Row Labels</t>
  </si>
  <si>
    <t>Grand Total</t>
  </si>
  <si>
    <t>Sum of Total</t>
  </si>
  <si>
    <t>Column Labels</t>
  </si>
  <si>
    <t>KAITLIN</t>
  </si>
  <si>
    <t>JERRY</t>
  </si>
  <si>
    <t>NOTEBOOKS</t>
  </si>
  <si>
    <t>WRITING UTENSILS</t>
  </si>
  <si>
    <t>WALMART</t>
  </si>
  <si>
    <t>Department Costs</t>
  </si>
  <si>
    <t>Count of Vendor</t>
  </si>
  <si>
    <t>GEORGE</t>
  </si>
  <si>
    <t>AL</t>
  </si>
  <si>
    <t>POOL TABLE</t>
  </si>
  <si>
    <t xml:space="preserve">TABLE </t>
  </si>
  <si>
    <t>JANNY</t>
  </si>
  <si>
    <t>KIM</t>
  </si>
  <si>
    <t>PAPER TOWELS</t>
  </si>
  <si>
    <t>MAINTENANCE</t>
  </si>
  <si>
    <t>Count of Ref</t>
  </si>
  <si>
    <t>Mar</t>
  </si>
  <si>
    <t>Apr</t>
  </si>
  <si>
    <t>May</t>
  </si>
  <si>
    <t>Jun</t>
  </si>
  <si>
    <t>Order Dashboard Metrics</t>
  </si>
  <si>
    <t>Refresh data when new data is uploaded. Click the different options to view more in depth metrics.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</si>
</sst>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2" formatCode="_(&quot;$&quot;* #,##0_);_(&quot;$&quot;* \(#,##0\);_(&quot;$&quot;* &quot;-&quot;_);_(@_)"/>
    <numFmt numFmtId="44" formatCode="_(&quot;$&quot;* #,##0.00_);_(&quot;$&quot;* \(#,##0.00\);_(&quot;$&quot;* &quot;-&quot;??_);_(@_)"/>
    <numFmt numFmtId="164" formatCode="[$-409]m/d/yy\ h:mm\ AM/PM;@"/>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sz val="22"/>
      <color theme="0"/>
      <name val="Calibri"/>
      <family val="2"/>
      <scheme val="minor"/>
    </font>
    <font>
      <sz val="11"/>
      <color rgb="FF000000"/>
      <name val="Calibri"/>
      <family val="2"/>
    </font>
    <font>
      <b/>
      <sz val="11"/>
      <color theme="0"/>
      <name val="Calibri"/>
      <family val="2"/>
      <scheme val="minor"/>
    </font>
    <font>
      <sz val="8"/>
      <name val="Calibri"/>
      <family val="2"/>
      <scheme val="minor"/>
    </font>
    <font>
      <sz val="14"/>
      <color theme="1"/>
      <name val="Calibri"/>
      <family val="2"/>
      <scheme val="minor"/>
    </font>
    <font>
      <sz val="42"/>
      <color theme="0"/>
      <name val="Calibri"/>
      <family val="2"/>
      <scheme val="minor"/>
    </font>
  </fonts>
  <fills count="6">
    <fill>
      <patternFill patternType="none"/>
    </fill>
    <fill>
      <patternFill patternType="gray125"/>
    </fill>
    <fill>
      <patternFill patternType="solid">
        <fgColor theme="4" tint="-0.499984740745262"/>
        <bgColor indexed="64"/>
      </patternFill>
    </fill>
    <fill>
      <patternFill patternType="solid">
        <fgColor theme="8" tint="0.59999389629810485"/>
        <bgColor indexed="64"/>
      </patternFill>
    </fill>
    <fill>
      <patternFill patternType="solid">
        <fgColor theme="4" tint="0.79998168889431442"/>
        <bgColor theme="4" tint="0.79998168889431442"/>
      </patternFill>
    </fill>
    <fill>
      <patternFill patternType="solid">
        <fgColor theme="4" tint="-0.249977111117893"/>
        <bgColor indexed="64"/>
      </patternFill>
    </fill>
  </fills>
  <borders count="11">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s>
  <cellStyleXfs count="2">
    <xf numFmtId="0" fontId="0" fillId="0" borderId="0"/>
    <xf numFmtId="44" fontId="1" fillId="0" borderId="0" applyFont="0" applyFill="0" applyBorder="0" applyAlignment="0" applyProtection="0"/>
  </cellStyleXfs>
  <cellXfs count="34">
    <xf numFmtId="0" fontId="0" fillId="0" borderId="0" xfId="0"/>
    <xf numFmtId="0" fontId="0" fillId="0" borderId="0" xfId="0" applyAlignment="1">
      <alignment horizontal="center" vertical="center"/>
    </xf>
    <xf numFmtId="0" fontId="2" fillId="0" borderId="1" xfId="0" applyFont="1"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4" fillId="2" borderId="4" xfId="0" applyFont="1" applyFill="1" applyBorder="1" applyAlignment="1"/>
    <xf numFmtId="0" fontId="3" fillId="2" borderId="5" xfId="0" applyFont="1" applyFill="1" applyBorder="1" applyAlignment="1"/>
    <xf numFmtId="0" fontId="3" fillId="2" borderId="5" xfId="0" applyFont="1" applyFill="1" applyBorder="1"/>
    <xf numFmtId="0" fontId="3" fillId="2" borderId="6" xfId="0" applyFont="1" applyFill="1" applyBorder="1"/>
    <xf numFmtId="0" fontId="0" fillId="3" borderId="7" xfId="0" applyFill="1" applyBorder="1" applyAlignment="1">
      <alignment horizontal="center" vertical="center"/>
    </xf>
    <xf numFmtId="0" fontId="0" fillId="3" borderId="8" xfId="0" applyFill="1" applyBorder="1" applyAlignment="1">
      <alignment horizontal="center" vertical="center"/>
    </xf>
    <xf numFmtId="44" fontId="0" fillId="0" borderId="0" xfId="1" applyFont="1"/>
    <xf numFmtId="44" fontId="3" fillId="2" borderId="5" xfId="1" applyFont="1" applyFill="1" applyBorder="1"/>
    <xf numFmtId="44" fontId="0" fillId="3" borderId="9" xfId="1" applyFont="1" applyFill="1" applyBorder="1" applyAlignment="1">
      <alignment horizontal="center" vertical="center"/>
    </xf>
    <xf numFmtId="44" fontId="0" fillId="0" borderId="0" xfId="1" applyFont="1" applyAlignment="1">
      <alignment horizontal="center" vertical="center"/>
    </xf>
    <xf numFmtId="164" fontId="0" fillId="0" borderId="0" xfId="0" applyNumberFormat="1"/>
    <xf numFmtId="164" fontId="4" fillId="2" borderId="5" xfId="0" applyNumberFormat="1" applyFont="1" applyFill="1" applyBorder="1" applyAlignment="1"/>
    <xf numFmtId="164" fontId="0" fillId="3" borderId="8" xfId="0" applyNumberFormat="1" applyFill="1" applyBorder="1" applyAlignment="1">
      <alignment horizontal="center" vertical="center"/>
    </xf>
    <xf numFmtId="44" fontId="0" fillId="0" borderId="0" xfId="0" applyNumberFormat="1" applyAlignment="1">
      <alignment horizontal="center" vertical="center"/>
    </xf>
    <xf numFmtId="44" fontId="0" fillId="3" borderId="8" xfId="1" applyFont="1" applyFill="1" applyBorder="1" applyAlignment="1">
      <alignment horizontal="center" vertical="center"/>
    </xf>
    <xf numFmtId="0" fontId="0" fillId="0" borderId="0" xfId="0" pivotButton="1"/>
    <xf numFmtId="0" fontId="0" fillId="0" borderId="0" xfId="0" applyAlignment="1">
      <alignment horizontal="left"/>
    </xf>
    <xf numFmtId="0" fontId="0" fillId="0" borderId="0" xfId="0" applyNumberFormat="1"/>
    <xf numFmtId="2" fontId="0" fillId="0" borderId="0" xfId="0" applyNumberFormat="1"/>
    <xf numFmtId="164" fontId="0" fillId="4" borderId="10" xfId="0" applyNumberFormat="1" applyFont="1" applyFill="1" applyBorder="1"/>
    <xf numFmtId="164" fontId="0" fillId="0" borderId="0" xfId="0" applyNumberFormat="1" applyAlignment="1">
      <alignment horizontal="left"/>
    </xf>
    <xf numFmtId="14" fontId="0" fillId="0" borderId="0" xfId="0" applyNumberFormat="1" applyAlignment="1">
      <alignment horizontal="left"/>
    </xf>
    <xf numFmtId="42" fontId="0" fillId="0" borderId="0" xfId="0" applyNumberFormat="1"/>
    <xf numFmtId="0" fontId="9" fillId="5" borderId="4" xfId="0" applyFont="1" applyFill="1" applyBorder="1" applyAlignment="1">
      <alignment horizontal="center" vertical="center"/>
    </xf>
    <xf numFmtId="0" fontId="9" fillId="5" borderId="5" xfId="0" applyFont="1" applyFill="1" applyBorder="1" applyAlignment="1">
      <alignment horizontal="center" vertical="center"/>
    </xf>
    <xf numFmtId="0" fontId="9" fillId="5" borderId="6" xfId="0" applyFont="1" applyFill="1" applyBorder="1" applyAlignment="1">
      <alignment horizontal="center" vertical="center"/>
    </xf>
    <xf numFmtId="0" fontId="6" fillId="5" borderId="4" xfId="0" applyFont="1" applyFill="1" applyBorder="1" applyAlignment="1">
      <alignment horizontal="center" wrapText="1"/>
    </xf>
    <xf numFmtId="0" fontId="6" fillId="5" borderId="5" xfId="0" applyFont="1" applyFill="1" applyBorder="1" applyAlignment="1">
      <alignment horizontal="center" wrapText="1"/>
    </xf>
    <xf numFmtId="0" fontId="6" fillId="5" borderId="6" xfId="0" applyFont="1" applyFill="1" applyBorder="1" applyAlignment="1">
      <alignment horizontal="center" wrapText="1"/>
    </xf>
  </cellXfs>
  <cellStyles count="2">
    <cellStyle name="Currency" xfId="1" builtinId="4"/>
    <cellStyle name="Normal" xfId="0" builtinId="0"/>
  </cellStyles>
  <dxfs count="17">
    <dxf>
      <numFmt numFmtId="164" formatCode="[$-409]m/d/yy\ h:mm\ AM/PM;@"/>
      <fill>
        <patternFill patternType="solid">
          <fgColor theme="4" tint="0.79998168889431442"/>
          <bgColor theme="4" tint="0.79998168889431442"/>
        </patternFill>
      </fill>
      <alignment horizontal="center" vertical="center" textRotation="0" wrapText="0" indent="0" justifyLastLine="0" shrinkToFit="0" readingOrder="0"/>
      <border diagonalUp="0" diagonalDown="0">
        <left style="thin">
          <color theme="4" tint="0.39997558519241921"/>
        </left>
        <right style="thin">
          <color theme="4" tint="0.39997558519241921"/>
        </right>
        <top style="thin">
          <color theme="4" tint="0.39997558519241921"/>
        </top>
        <bottom style="thin">
          <color theme="4" tint="0.39997558519241921"/>
        </bottom>
        <vertical/>
        <horizontal/>
      </border>
    </dxf>
    <dxf>
      <alignment horizontal="center" vertical="center" textRotation="0" wrapText="0" indent="0" justifyLastLine="0" shrinkToFit="0" readingOrder="0"/>
    </dxf>
    <dxf>
      <alignment horizontal="center" vertical="center" textRotation="0" wrapText="0" indent="0" justifyLastLine="0" shrinkToFit="0" readingOrder="0"/>
    </dxf>
    <dxf>
      <numFmt numFmtId="34" formatCode="_(&quot;$&quot;* #,##0.00_);_(&quot;$&quot;* \(#,##0.00\);_(&quot;$&quot;* &quot;-&quot;??_);_(@_)"/>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outline="0">
        <top style="medium">
          <color indexed="64"/>
        </top>
      </border>
    </dxf>
    <dxf>
      <alignment horizontal="center" vertical="center" textRotation="0" wrapText="0" indent="0" justifyLastLine="0" shrinkToFit="0" readingOrder="0"/>
    </dxf>
    <dxf>
      <border outline="0">
        <bottom style="medium">
          <color indexed="64"/>
        </bottom>
      </border>
    </dxf>
    <dxf>
      <fill>
        <patternFill patternType="solid">
          <fgColor indexed="64"/>
          <bgColor theme="8" tint="0.59999389629810485"/>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alcChain" Target="calcChain.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[Order_Supply_Form_Template.xlsm]Pivot_Department_Cost!PivotTable2</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Total</a:t>
            </a:r>
            <a:r>
              <a:rPr lang="en-US" b="1" baseline="0"/>
              <a:t> Department Costs</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chemeClr val="tx1"/>
            </a:solidFill>
          </a:ln>
          <a:effectLst/>
        </c:spPr>
        <c:marker>
          <c:symbol val="none"/>
        </c:marker>
        <c:dLbl>
          <c:idx val="0"/>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4">
              <a:lumMod val="60000"/>
              <a:lumOff val="40000"/>
            </a:schemeClr>
          </a:solidFill>
          <a:ln>
            <a:solidFill>
              <a:schemeClr val="tx1"/>
            </a:solidFill>
          </a:ln>
          <a:effectLst/>
        </c:spPr>
      </c:pivotFmt>
      <c:pivotFmt>
        <c:idx val="4"/>
        <c:spPr>
          <a:solidFill>
            <a:schemeClr val="accent6"/>
          </a:solidFill>
          <a:ln>
            <a:solidFill>
              <a:schemeClr val="tx1"/>
            </a:solidFill>
          </a:ln>
          <a:effectLst/>
        </c:spPr>
      </c:pivotFmt>
    </c:pivotFmts>
    <c:plotArea>
      <c:layout/>
      <c:barChart>
        <c:barDir val="col"/>
        <c:grouping val="clustered"/>
        <c:varyColors val="0"/>
        <c:ser>
          <c:idx val="0"/>
          <c:order val="0"/>
          <c:tx>
            <c:strRef>
              <c:f>Pivot_Department_Cost!$B$3</c:f>
              <c:strCache>
                <c:ptCount val="1"/>
                <c:pt idx="0">
                  <c:v>Total</c:v>
                </c:pt>
              </c:strCache>
            </c:strRef>
          </c:tx>
          <c:spPr>
            <a:solidFill>
              <a:schemeClr val="accent1"/>
            </a:solidFill>
            <a:ln>
              <a:solidFill>
                <a:schemeClr val="tx1"/>
              </a:solidFill>
            </a:ln>
            <a:effectLst/>
          </c:spPr>
          <c:invertIfNegative val="0"/>
          <c:dPt>
            <c:idx val="1"/>
            <c:invertIfNegative val="0"/>
            <c:bubble3D val="0"/>
            <c:spPr>
              <a:solidFill>
                <a:schemeClr val="accent4">
                  <a:lumMod val="60000"/>
                  <a:lumOff val="40000"/>
                </a:schemeClr>
              </a:solidFill>
              <a:ln>
                <a:solidFill>
                  <a:schemeClr val="tx1"/>
                </a:solidFill>
              </a:ln>
              <a:effectLst/>
            </c:spPr>
            <c:extLst>
              <c:ext xmlns:c16="http://schemas.microsoft.com/office/drawing/2014/chart" uri="{C3380CC4-5D6E-409C-BE32-E72D297353CC}">
                <c16:uniqueId val="{00000001-98F6-4454-9055-C5429D1EEDE3}"/>
              </c:ext>
            </c:extLst>
          </c:dPt>
          <c:dPt>
            <c:idx val="2"/>
            <c:invertIfNegative val="0"/>
            <c:bubble3D val="0"/>
            <c:spPr>
              <a:solidFill>
                <a:schemeClr val="accent6"/>
              </a:solidFill>
              <a:ln>
                <a:solidFill>
                  <a:schemeClr val="tx1"/>
                </a:solidFill>
              </a:ln>
              <a:effectLst/>
            </c:spPr>
          </c:dPt>
          <c:dLbls>
            <c:numFmt formatCode="_(&quot;$&quot;* #,##0.00_);_(&quot;$&quot;* \(#,##0.00\);_(&quot;$&quot;* &quot;-&quot;??_);_(@_)" sourceLinked="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Pivot_Department_Cost!$A$4:$A$7</c:f>
              <c:strCache>
                <c:ptCount val="3"/>
                <c:pt idx="0">
                  <c:v>Department 1</c:v>
                </c:pt>
                <c:pt idx="1">
                  <c:v>Department 2</c:v>
                </c:pt>
                <c:pt idx="2">
                  <c:v>Department 3</c:v>
                </c:pt>
              </c:strCache>
            </c:strRef>
          </c:cat>
          <c:val>
            <c:numRef>
              <c:f>Pivot_Department_Cost!$B$4:$B$7</c:f>
              <c:numCache>
                <c:formatCode>0.00</c:formatCode>
                <c:ptCount val="3"/>
                <c:pt idx="0">
                  <c:v>2426</c:v>
                </c:pt>
                <c:pt idx="1">
                  <c:v>413</c:v>
                </c:pt>
                <c:pt idx="2">
                  <c:v>1830</c:v>
                </c:pt>
              </c:numCache>
            </c:numRef>
          </c:val>
          <c:extLst>
            <c:ext xmlns:c16="http://schemas.microsoft.com/office/drawing/2014/chart" uri="{C3380CC4-5D6E-409C-BE32-E72D297353CC}">
              <c16:uniqueId val="{00000000-98F6-4454-9055-C5429D1EEDE3}"/>
            </c:ext>
          </c:extLst>
        </c:ser>
        <c:dLbls>
          <c:showLegendKey val="0"/>
          <c:showVal val="1"/>
          <c:showCatName val="0"/>
          <c:showSerName val="0"/>
          <c:showPercent val="0"/>
          <c:showBubbleSize val="0"/>
        </c:dLbls>
        <c:gapWidth val="75"/>
        <c:axId val="2018097071"/>
        <c:axId val="2021132767"/>
      </c:barChart>
      <c:catAx>
        <c:axId val="20180970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21132767"/>
        <c:crosses val="autoZero"/>
        <c:auto val="1"/>
        <c:lblAlgn val="ctr"/>
        <c:lblOffset val="100"/>
        <c:noMultiLvlLbl val="0"/>
      </c:catAx>
      <c:valAx>
        <c:axId val="2021132767"/>
        <c:scaling>
          <c:orientation val="minMax"/>
        </c:scaling>
        <c:delete val="0"/>
        <c:axPos val="l"/>
        <c:numFmt formatCode="_(&quot;$&quot;* #,##0.00_);_(&quot;$&quot;* \(#,##0.00\);_(&quot;$&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18097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[Order_Supply_Form_Template.xlsm]Pivot_Department_Cost!PivotTable7</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Orders per Month</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5"/>
          <c:spPr>
            <a:solidFill>
              <a:schemeClr val="tx1"/>
            </a:solidFill>
            <a:ln w="9525">
              <a:solidFill>
                <a:schemeClr val="tx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Pivot_Department_Cost!$B$27</c:f>
              <c:strCache>
                <c:ptCount val="1"/>
                <c:pt idx="0">
                  <c:v>Total</c:v>
                </c:pt>
              </c:strCache>
            </c:strRef>
          </c:tx>
          <c:spPr>
            <a:ln w="28575" cap="rnd">
              <a:solidFill>
                <a:schemeClr val="accent1"/>
              </a:solidFill>
              <a:round/>
            </a:ln>
            <a:effectLst/>
          </c:spPr>
          <c:marker>
            <c:symbol val="circle"/>
            <c:size val="5"/>
            <c:spPr>
              <a:solidFill>
                <a:schemeClr val="tx1"/>
              </a:solidFill>
              <a:ln w="9525">
                <a:solidFill>
                  <a:schemeClr val="tx1"/>
                </a:solidFill>
              </a:ln>
              <a:effectLst/>
            </c:spPr>
          </c:marker>
          <c:cat>
            <c:strRef>
              <c:f>Pivot_Department_Cost!$A$28:$A$32</c:f>
              <c:strCache>
                <c:ptCount val="4"/>
                <c:pt idx="0">
                  <c:v>Mar</c:v>
                </c:pt>
                <c:pt idx="1">
                  <c:v>Apr</c:v>
                </c:pt>
                <c:pt idx="2">
                  <c:v>May</c:v>
                </c:pt>
                <c:pt idx="3">
                  <c:v>Jun</c:v>
                </c:pt>
              </c:strCache>
            </c:strRef>
          </c:cat>
          <c:val>
            <c:numRef>
              <c:f>Pivot_Department_Cost!$B$28:$B$32</c:f>
              <c:numCache>
                <c:formatCode>General</c:formatCode>
                <c:ptCount val="4"/>
                <c:pt idx="0">
                  <c:v>1</c:v>
                </c:pt>
                <c:pt idx="1">
                  <c:v>4</c:v>
                </c:pt>
                <c:pt idx="2">
                  <c:v>3</c:v>
                </c:pt>
                <c:pt idx="3">
                  <c:v>1</c:v>
                </c:pt>
              </c:numCache>
            </c:numRef>
          </c:val>
          <c:smooth val="0"/>
          <c:extLst>
            <c:ext xmlns:c16="http://schemas.microsoft.com/office/drawing/2014/chart" uri="{C3380CC4-5D6E-409C-BE32-E72D297353CC}">
              <c16:uniqueId val="{00000000-2F95-4FB6-8859-27B744AC8F54}"/>
            </c:ext>
          </c:extLst>
        </c:ser>
        <c:dLbls>
          <c:showLegendKey val="0"/>
          <c:showVal val="0"/>
          <c:showCatName val="0"/>
          <c:showSerName val="0"/>
          <c:showPercent val="0"/>
          <c:showBubbleSize val="0"/>
        </c:dLbls>
        <c:dropLines>
          <c:spPr>
            <a:ln w="9525" cap="flat" cmpd="sng" algn="ctr">
              <a:solidFill>
                <a:schemeClr val="tx1"/>
              </a:solidFill>
              <a:round/>
            </a:ln>
            <a:effectLst/>
          </c:spPr>
        </c:dropLines>
        <c:marker val="1"/>
        <c:smooth val="0"/>
        <c:axId val="1968971359"/>
        <c:axId val="2021139007"/>
      </c:lineChart>
      <c:catAx>
        <c:axId val="1968971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2021139007"/>
        <c:crosses val="autoZero"/>
        <c:auto val="1"/>
        <c:lblAlgn val="ctr"/>
        <c:lblOffset val="100"/>
        <c:noMultiLvlLbl val="0"/>
      </c:catAx>
      <c:valAx>
        <c:axId val="2021139007"/>
        <c:scaling>
          <c:orientation val="minMax"/>
        </c:scaling>
        <c:delete val="0"/>
        <c:axPos val="l"/>
        <c:title>
          <c:tx>
            <c:rich>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r>
                  <a:rPr lang="en-US" sz="1400" b="1"/>
                  <a:t>Orders</a:t>
                </a:r>
              </a:p>
            </c:rich>
          </c:tx>
          <c:overlay val="0"/>
          <c:spPr>
            <a:noFill/>
            <a:ln>
              <a:noFill/>
            </a:ln>
            <a:effectLst/>
          </c:spPr>
          <c:txPr>
            <a:bodyPr rot="-54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title>
        <c:numFmt formatCode="General" sourceLinked="0"/>
        <c:majorTickMark val="out"/>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en-US"/>
          </a:p>
        </c:txPr>
        <c:crossAx val="1968971359"/>
        <c:crosses val="autoZero"/>
        <c:crossBetween val="between"/>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[Order_Supply_Form_Template.xlsm]Pivot_Department_Cost!PivotTable9</c:name>
    <c:fmtId val="2"/>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t>Department Spending</a:t>
            </a:r>
            <a:r>
              <a:rPr lang="en-US" b="1" baseline="0"/>
              <a:t> per Month</a:t>
            </a:r>
            <a:endParaRPr lang="en-US" b="1"/>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lumMod val="60000"/>
              <a:lumOff val="40000"/>
            </a:schemeClr>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6"/>
          </a:solidFill>
          <a:ln>
            <a:solidFill>
              <a:schemeClr val="tx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Pivot_Department_Cost!$B$38:$B$39</c:f>
              <c:strCache>
                <c:ptCount val="1"/>
                <c:pt idx="0">
                  <c:v>Department 1</c:v>
                </c:pt>
              </c:strCache>
            </c:strRef>
          </c:tx>
          <c:spPr>
            <a:solidFill>
              <a:schemeClr val="accent1"/>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Pivot_Department_Cost!$A$40:$A$44</c:f>
              <c:strCache>
                <c:ptCount val="4"/>
                <c:pt idx="0">
                  <c:v>Mar</c:v>
                </c:pt>
                <c:pt idx="1">
                  <c:v>Apr</c:v>
                </c:pt>
                <c:pt idx="2">
                  <c:v>May</c:v>
                </c:pt>
                <c:pt idx="3">
                  <c:v>Jun</c:v>
                </c:pt>
              </c:strCache>
            </c:strRef>
          </c:cat>
          <c:val>
            <c:numRef>
              <c:f>Pivot_Department_Cost!$B$40:$B$44</c:f>
              <c:numCache>
                <c:formatCode>_("$"* #,##0_);_("$"* \(#,##0\);_("$"* "-"_);_(@_)</c:formatCode>
                <c:ptCount val="4"/>
                <c:pt idx="0">
                  <c:v>930</c:v>
                </c:pt>
                <c:pt idx="1">
                  <c:v>1496</c:v>
                </c:pt>
              </c:numCache>
            </c:numRef>
          </c:val>
          <c:extLst>
            <c:ext xmlns:c16="http://schemas.microsoft.com/office/drawing/2014/chart" uri="{C3380CC4-5D6E-409C-BE32-E72D297353CC}">
              <c16:uniqueId val="{00000000-2090-48C1-8E7A-1F2C968BCA4F}"/>
            </c:ext>
          </c:extLst>
        </c:ser>
        <c:ser>
          <c:idx val="1"/>
          <c:order val="1"/>
          <c:tx>
            <c:strRef>
              <c:f>Pivot_Department_Cost!$C$38:$C$39</c:f>
              <c:strCache>
                <c:ptCount val="1"/>
                <c:pt idx="0">
                  <c:v>Department 2</c:v>
                </c:pt>
              </c:strCache>
            </c:strRef>
          </c:tx>
          <c:spPr>
            <a:solidFill>
              <a:schemeClr val="accent4">
                <a:lumMod val="60000"/>
                <a:lumOff val="40000"/>
              </a:schemeClr>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Pivot_Department_Cost!$A$40:$A$44</c:f>
              <c:strCache>
                <c:ptCount val="4"/>
                <c:pt idx="0">
                  <c:v>Mar</c:v>
                </c:pt>
                <c:pt idx="1">
                  <c:v>Apr</c:v>
                </c:pt>
                <c:pt idx="2">
                  <c:v>May</c:v>
                </c:pt>
                <c:pt idx="3">
                  <c:v>Jun</c:v>
                </c:pt>
              </c:strCache>
            </c:strRef>
          </c:cat>
          <c:val>
            <c:numRef>
              <c:f>Pivot_Department_Cost!$C$40:$C$44</c:f>
              <c:numCache>
                <c:formatCode>_("$"* #,##0_);_("$"* \(#,##0\);_("$"* "-"_);_(@_)</c:formatCode>
                <c:ptCount val="4"/>
                <c:pt idx="2">
                  <c:v>368</c:v>
                </c:pt>
                <c:pt idx="3">
                  <c:v>45</c:v>
                </c:pt>
              </c:numCache>
            </c:numRef>
          </c:val>
          <c:extLst>
            <c:ext xmlns:c16="http://schemas.microsoft.com/office/drawing/2014/chart" uri="{C3380CC4-5D6E-409C-BE32-E72D297353CC}">
              <c16:uniqueId val="{00000028-2090-48C1-8E7A-1F2C968BCA4F}"/>
            </c:ext>
          </c:extLst>
        </c:ser>
        <c:ser>
          <c:idx val="2"/>
          <c:order val="2"/>
          <c:tx>
            <c:strRef>
              <c:f>Pivot_Department_Cost!$D$38:$D$39</c:f>
              <c:strCache>
                <c:ptCount val="1"/>
                <c:pt idx="0">
                  <c:v>Department 3</c:v>
                </c:pt>
              </c:strCache>
            </c:strRef>
          </c:tx>
          <c:spPr>
            <a:solidFill>
              <a:schemeClr val="accent6"/>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Pivot_Department_Cost!$A$40:$A$44</c:f>
              <c:strCache>
                <c:ptCount val="4"/>
                <c:pt idx="0">
                  <c:v>Mar</c:v>
                </c:pt>
                <c:pt idx="1">
                  <c:v>Apr</c:v>
                </c:pt>
                <c:pt idx="2">
                  <c:v>May</c:v>
                </c:pt>
                <c:pt idx="3">
                  <c:v>Jun</c:v>
                </c:pt>
              </c:strCache>
            </c:strRef>
          </c:cat>
          <c:val>
            <c:numRef>
              <c:f>Pivot_Department_Cost!$D$40:$D$44</c:f>
              <c:numCache>
                <c:formatCode>_("$"* #,##0_);_("$"* \(#,##0\);_("$"* "-"_);_(@_)</c:formatCode>
                <c:ptCount val="4"/>
                <c:pt idx="1">
                  <c:v>1430</c:v>
                </c:pt>
                <c:pt idx="2">
                  <c:v>400</c:v>
                </c:pt>
              </c:numCache>
            </c:numRef>
          </c:val>
          <c:extLst>
            <c:ext xmlns:c16="http://schemas.microsoft.com/office/drawing/2014/chart" uri="{C3380CC4-5D6E-409C-BE32-E72D297353CC}">
              <c16:uniqueId val="{00000029-2090-48C1-8E7A-1F2C968BCA4F}"/>
            </c:ext>
          </c:extLst>
        </c:ser>
        <c:dLbls>
          <c:showLegendKey val="0"/>
          <c:showVal val="1"/>
          <c:showCatName val="0"/>
          <c:showSerName val="0"/>
          <c:showPercent val="0"/>
          <c:showBubbleSize val="0"/>
        </c:dLbls>
        <c:gapWidth val="150"/>
        <c:overlap val="-25"/>
        <c:axId val="2025398191"/>
        <c:axId val="2020676367"/>
      </c:barChart>
      <c:catAx>
        <c:axId val="20253981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2020676367"/>
        <c:crosses val="autoZero"/>
        <c:auto val="1"/>
        <c:lblAlgn val="ctr"/>
        <c:lblOffset val="100"/>
        <c:noMultiLvlLbl val="0"/>
      </c:catAx>
      <c:valAx>
        <c:axId val="2020676367"/>
        <c:scaling>
          <c:orientation val="minMax"/>
        </c:scaling>
        <c:delete val="1"/>
        <c:axPos val="l"/>
        <c:numFmt formatCode="_(&quot;$&quot;* #,##0_);_(&quot;$&quot;* \(#,##0\);_(&quot;$&quot;* &quot;-&quot;_);_(@_)" sourceLinked="1"/>
        <c:majorTickMark val="none"/>
        <c:minorTickMark val="none"/>
        <c:tickLblPos val="nextTo"/>
        <c:crossAx val="202539819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xdr:colOff>
      <xdr:row>3</xdr:row>
      <xdr:rowOff>0</xdr:rowOff>
    </xdr:from>
    <xdr:to>
      <xdr:col>13</xdr:col>
      <xdr:colOff>0</xdr:colOff>
      <xdr:row>19</xdr:row>
      <xdr:rowOff>0</xdr:rowOff>
    </xdr:to>
    <xdr:graphicFrame macro="">
      <xdr:nvGraphicFramePr>
        <xdr:cNvPr id="4" name="Chart 3">
          <a:extLst>
            <a:ext uri="{FF2B5EF4-FFF2-40B4-BE49-F238E27FC236}">
              <a16:creationId xmlns:a16="http://schemas.microsoft.com/office/drawing/2014/main" id="{BF24EEA3-0344-4295-B2CF-06734F96E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0</xdr:colOff>
      <xdr:row>12</xdr:row>
      <xdr:rowOff>57151</xdr:rowOff>
    </xdr:from>
    <xdr:to>
      <xdr:col>5</xdr:col>
      <xdr:colOff>0</xdr:colOff>
      <xdr:row>19</xdr:row>
      <xdr:rowOff>0</xdr:rowOff>
    </xdr:to>
    <mc:AlternateContent xmlns:mc="http://schemas.openxmlformats.org/markup-compatibility/2006">
      <mc:Choice xmlns:a14="http://schemas.microsoft.com/office/drawing/2010/main" Requires="a14">
        <xdr:graphicFrame macro="">
          <xdr:nvGraphicFramePr>
            <xdr:cNvPr id="5" name="Vendor">
              <a:extLst>
                <a:ext uri="{FF2B5EF4-FFF2-40B4-BE49-F238E27FC236}">
                  <a16:creationId xmlns:a16="http://schemas.microsoft.com/office/drawing/2014/main" id="{53630926-BEEE-4414-AE70-F93F8BFD8BC6}"/>
                </a:ext>
              </a:extLst>
            </xdr:cNvPr>
            <xdr:cNvGraphicFramePr/>
          </xdr:nvGraphicFramePr>
          <xdr:xfrm>
            <a:off x="0" y="0"/>
            <a:ext cx="0" cy="0"/>
          </xdr:xfrm>
          <a:graphic>
            <a:graphicData uri="http://schemas.microsoft.com/office/drawing/2010/slicer">
              <sle:slicer xmlns:sle="http://schemas.microsoft.com/office/drawing/2010/slicer" name="Vendor"/>
            </a:graphicData>
          </a:graphic>
        </xdr:graphicFrame>
      </mc:Choice>
      <mc:Fallback>
        <xdr:sp macro="" textlink="">
          <xdr:nvSpPr>
            <xdr:cNvPr id="0" name=""/>
            <xdr:cNvSpPr>
              <a:spLocks noTextEdit="1"/>
            </xdr:cNvSpPr>
          </xdr:nvSpPr>
          <xdr:spPr>
            <a:xfrm>
              <a:off x="247650" y="2609851"/>
              <a:ext cx="2438400" cy="127634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xdr:col>
      <xdr:colOff>0</xdr:colOff>
      <xdr:row>5</xdr:row>
      <xdr:rowOff>66676</xdr:rowOff>
    </xdr:from>
    <xdr:to>
      <xdr:col>5</xdr:col>
      <xdr:colOff>0</xdr:colOff>
      <xdr:row>12</xdr:row>
      <xdr:rowOff>0</xdr:rowOff>
    </xdr:to>
    <mc:AlternateContent xmlns:mc="http://schemas.openxmlformats.org/markup-compatibility/2006">
      <mc:Choice xmlns:a14="http://schemas.microsoft.com/office/drawing/2010/main" Requires="a14">
        <xdr:graphicFrame macro="">
          <xdr:nvGraphicFramePr>
            <xdr:cNvPr id="6" name="Department">
              <a:extLst>
                <a:ext uri="{FF2B5EF4-FFF2-40B4-BE49-F238E27FC236}">
                  <a16:creationId xmlns:a16="http://schemas.microsoft.com/office/drawing/2014/main" id="{A3E0AE96-31B1-4953-BB53-A506DD9795EC}"/>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dr:sp macro="" textlink="">
          <xdr:nvSpPr>
            <xdr:cNvPr id="0" name=""/>
            <xdr:cNvSpPr>
              <a:spLocks noTextEdit="1"/>
            </xdr:cNvSpPr>
          </xdr:nvSpPr>
          <xdr:spPr>
            <a:xfrm>
              <a:off x="247650" y="1285876"/>
              <a:ext cx="2438400" cy="12668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13</xdr:col>
      <xdr:colOff>0</xdr:colOff>
      <xdr:row>3</xdr:row>
      <xdr:rowOff>0</xdr:rowOff>
    </xdr:from>
    <xdr:to>
      <xdr:col>22</xdr:col>
      <xdr:colOff>0</xdr:colOff>
      <xdr:row>19</xdr:row>
      <xdr:rowOff>0</xdr:rowOff>
    </xdr:to>
    <xdr:graphicFrame macro="">
      <xdr:nvGraphicFramePr>
        <xdr:cNvPr id="7" name="Chart 6">
          <a:extLst>
            <a:ext uri="{FF2B5EF4-FFF2-40B4-BE49-F238E27FC236}">
              <a16:creationId xmlns:a16="http://schemas.microsoft.com/office/drawing/2014/main" id="{3385F211-643D-48BC-9B91-37E023803F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xdr:col>
      <xdr:colOff>0</xdr:colOff>
      <xdr:row>19</xdr:row>
      <xdr:rowOff>0</xdr:rowOff>
    </xdr:from>
    <xdr:to>
      <xdr:col>5</xdr:col>
      <xdr:colOff>0</xdr:colOff>
      <xdr:row>27</xdr:row>
      <xdr:rowOff>190499</xdr:rowOff>
    </xdr:to>
    <mc:AlternateContent xmlns:mc="http://schemas.openxmlformats.org/markup-compatibility/2006">
      <mc:Choice xmlns:a14="http://schemas.microsoft.com/office/drawing/2010/main" Requires="a14">
        <xdr:graphicFrame macro="">
          <xdr:nvGraphicFramePr>
            <xdr:cNvPr id="8" name="Date">
              <a:extLst>
                <a:ext uri="{FF2B5EF4-FFF2-40B4-BE49-F238E27FC236}">
                  <a16:creationId xmlns:a16="http://schemas.microsoft.com/office/drawing/2014/main" id="{EE2A62AE-71EB-4A4B-9086-5D5ACF809DAF}"/>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247650" y="3886200"/>
              <a:ext cx="2438400" cy="171449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6</xdr:col>
      <xdr:colOff>0</xdr:colOff>
      <xdr:row>19</xdr:row>
      <xdr:rowOff>0</xdr:rowOff>
    </xdr:from>
    <xdr:to>
      <xdr:col>22</xdr:col>
      <xdr:colOff>0</xdr:colOff>
      <xdr:row>28</xdr:row>
      <xdr:rowOff>0</xdr:rowOff>
    </xdr:to>
    <xdr:graphicFrame macro="">
      <xdr:nvGraphicFramePr>
        <xdr:cNvPr id="9" name="Chart 8">
          <a:extLst>
            <a:ext uri="{FF2B5EF4-FFF2-40B4-BE49-F238E27FC236}">
              <a16:creationId xmlns:a16="http://schemas.microsoft.com/office/drawing/2014/main" id="{A88F3DFC-D469-4F1A-84E4-3B355E0812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xdr:col>
          <xdr:colOff>0</xdr:colOff>
          <xdr:row>2</xdr:row>
          <xdr:rowOff>57150</xdr:rowOff>
        </xdr:from>
        <xdr:to>
          <xdr:col>4</xdr:col>
          <xdr:colOff>609599</xdr:colOff>
          <xdr:row>5</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1E56FF32-32B8-458B-83E2-FF95B101F47A}"/>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Refresh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3</xdr:row>
          <xdr:rowOff>0</xdr:rowOff>
        </xdr:from>
        <xdr:to>
          <xdr:col>3</xdr:col>
          <xdr:colOff>0</xdr:colOff>
          <xdr:row>4</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Add Order</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ean Wiin" refreshedDate="43986.516250347224" createdVersion="6" refreshedVersion="6" minRefreshableVersion="3" recordCount="9" xr:uid="{5B8A42A3-2A65-4E5A-96EE-B0505CA0440D}">
  <cacheSource type="worksheet">
    <worksheetSource name="Table1"/>
  </cacheSource>
  <cacheFields count="13">
    <cacheField name="Ref" numFmtId="0">
      <sharedItems containsSemiMixedTypes="0" containsString="0" containsNumber="1" containsInteger="1" minValue="1" maxValue="9"/>
    </cacheField>
    <cacheField name="Submitted Time" numFmtId="164">
      <sharedItems containsSemiMixedTypes="0" containsNonDate="0" containsDate="1" containsString="0" minDate="2020-03-30T00:00:00" maxDate="2020-06-01T02:00:00" count="9">
        <d v="2020-03-30T00:00:00"/>
        <d v="2020-04-03T05:00:00"/>
        <d v="2020-04-11T09:00:00"/>
        <d v="2020-04-14T00:00:00"/>
        <d v="2020-04-24T01:00:00"/>
        <d v="2020-05-21T08:00:00"/>
        <d v="2020-05-22T10:00:00"/>
        <d v="2020-05-31T00:00:00"/>
        <d v="2020-06-01T02:00:00"/>
      </sharedItems>
      <fieldGroup base="1">
        <rangePr groupBy="months" startDate="2020-03-30T00:00:00" endDate="2020-06-01T02:00:00"/>
        <groupItems count="14">
          <s v="&lt;3/30/2020"/>
          <s v="Jan"/>
          <s v="Feb"/>
          <s v="Mar"/>
          <s v="Apr"/>
          <s v="May"/>
          <s v="Jun"/>
          <s v="Jul"/>
          <s v="Aug"/>
          <s v="Sep"/>
          <s v="Oct"/>
          <s v="Nov"/>
          <s v="Dec"/>
          <s v="&gt;6/1/2020"/>
        </groupItems>
      </fieldGroup>
    </cacheField>
    <cacheField name="Department" numFmtId="0">
      <sharedItems count="3">
        <s v="Department 1"/>
        <s v="Department 3"/>
        <s v="Department 2"/>
      </sharedItems>
    </cacheField>
    <cacheField name="First Name" numFmtId="0">
      <sharedItems/>
    </cacheField>
    <cacheField name="Last Name" numFmtId="0">
      <sharedItems/>
    </cacheField>
    <cacheField name="Item Name" numFmtId="0">
      <sharedItems/>
    </cacheField>
    <cacheField name="Item Number" numFmtId="0">
      <sharedItems containsMixedTypes="1" containsNumber="1" containsInteger="1" minValue="9491" maxValue="93859193"/>
    </cacheField>
    <cacheField name="Item Description" numFmtId="0">
      <sharedItems/>
    </cacheField>
    <cacheField name="Quantity" numFmtId="0">
      <sharedItems containsSemiMixedTypes="0" containsString="0" containsNumber="1" containsInteger="1" minValue="2" maxValue="1200"/>
    </cacheField>
    <cacheField name="Unit of Measure" numFmtId="0">
      <sharedItems/>
    </cacheField>
    <cacheField name="Vendor" numFmtId="0">
      <sharedItems count="6">
        <s v="COSTOCO"/>
        <s v="WALMART"/>
        <s v="AMAZON"/>
        <s v="ULINE" u="1"/>
        <s v="TARGET" u="1"/>
        <s v="2TWINS" u="1"/>
      </sharedItems>
    </cacheField>
    <cacheField name="Price Per Item" numFmtId="44">
      <sharedItems containsSemiMixedTypes="0" containsString="0" containsNumber="1" minValue="0.3" maxValue="200"/>
    </cacheField>
    <cacheField name="Total" numFmtId="44">
      <sharedItems containsSemiMixedTypes="0" containsString="0" containsNumber="1" containsInteger="1" minValue="8" maxValue="1196"/>
    </cacheField>
  </cacheFields>
  <extLst>
    <ext xmlns:x14="http://schemas.microsoft.com/office/spreadsheetml/2009/9/main" uri="{725AE2AE-9491-48be-B2B4-4EB974FC3084}">
      <x14:pivotCacheDefinition pivotCacheId="22724196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
  <r>
    <n v="1"/>
    <x v="0"/>
    <x v="0"/>
    <s v="KALE"/>
    <s v="POLE"/>
    <s v="FRIES"/>
    <n v="9491"/>
    <s v="FERNCH FRY"/>
    <n v="10"/>
    <s v="Each"/>
    <x v="0"/>
    <n v="93"/>
    <n v="930"/>
  </r>
  <r>
    <n v="2"/>
    <x v="1"/>
    <x v="1"/>
    <s v="KALE"/>
    <s v="POLE"/>
    <s v="FRIES"/>
    <n v="9491"/>
    <s v="FERNCH FRY"/>
    <n v="10"/>
    <s v="Each"/>
    <x v="0"/>
    <n v="93"/>
    <n v="930"/>
  </r>
  <r>
    <n v="3"/>
    <x v="2"/>
    <x v="0"/>
    <s v="PEANUT"/>
    <s v="BUTTER"/>
    <s v="SANDWICH"/>
    <s v="U93991"/>
    <s v="COWZONE"/>
    <n v="92"/>
    <s v="Each"/>
    <x v="1"/>
    <n v="13"/>
    <n v="1196"/>
  </r>
  <r>
    <n v="4"/>
    <x v="3"/>
    <x v="1"/>
    <s v="KAKNE"/>
    <s v="OPER"/>
    <s v="INDEX CARDS"/>
    <s v="O93941"/>
    <s v="UNRULED INDEX CARDS"/>
    <n v="100"/>
    <s v="Each"/>
    <x v="0"/>
    <n v="5"/>
    <n v="500"/>
  </r>
  <r>
    <n v="5"/>
    <x v="4"/>
    <x v="0"/>
    <s v="POP"/>
    <s v="LOOP"/>
    <s v="SCISSORS"/>
    <n v="93859193"/>
    <s v="CUTTING AID"/>
    <n v="10"/>
    <s v="Each"/>
    <x v="1"/>
    <n v="30"/>
    <n v="300"/>
  </r>
  <r>
    <n v="6"/>
    <x v="5"/>
    <x v="2"/>
    <s v="IAN"/>
    <s v="CARR"/>
    <s v="WIRES"/>
    <n v="137413"/>
    <s v="WIRES FOR COMPUTERS"/>
    <n v="1200"/>
    <s v="Each"/>
    <x v="2"/>
    <n v="0.3"/>
    <n v="360"/>
  </r>
  <r>
    <n v="7"/>
    <x v="6"/>
    <x v="2"/>
    <s v="KAITLIN"/>
    <s v="JERRY"/>
    <s v="NOTEBOOKS"/>
    <n v="48411"/>
    <s v="WRITING UTENSILS"/>
    <n v="2"/>
    <s v="Each"/>
    <x v="1"/>
    <n v="4"/>
    <n v="8"/>
  </r>
  <r>
    <n v="8"/>
    <x v="7"/>
    <x v="1"/>
    <s v="GEORGE"/>
    <s v="AL"/>
    <s v="POOL TABLE"/>
    <n v="941894"/>
    <s v="TABLE "/>
    <n v="2"/>
    <s v="Each"/>
    <x v="2"/>
    <n v="200"/>
    <n v="400"/>
  </r>
  <r>
    <n v="9"/>
    <x v="8"/>
    <x v="2"/>
    <s v="JANNY"/>
    <s v="KIM"/>
    <s v="PAPER TOWELS"/>
    <n v="9495"/>
    <s v="MAINTENANCE"/>
    <n v="90"/>
    <s v="Each"/>
    <x v="1"/>
    <n v="0.5"/>
    <n v="4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9E81373F-F87C-4AEE-A3F4-4700A9FB14C1}" name="PivotTable9" cacheId="2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38:E44" firstHeaderRow="1" firstDataRow="2" firstDataCol="1"/>
  <pivotFields count="13">
    <pivotField showAll="0"/>
    <pivotField axis="axisRow" numFmtId="164" showAll="0">
      <items count="15">
        <item x="0"/>
        <item x="1"/>
        <item x="2"/>
        <item x="3"/>
        <item x="4"/>
        <item x="5"/>
        <item x="6"/>
        <item x="7"/>
        <item x="8"/>
        <item x="9"/>
        <item x="10"/>
        <item x="11"/>
        <item x="12"/>
        <item x="13"/>
        <item t="default"/>
      </items>
    </pivotField>
    <pivotField axis="axisCol" showAll="0">
      <items count="4">
        <item x="0"/>
        <item x="2"/>
        <item x="1"/>
        <item t="default"/>
      </items>
    </pivotField>
    <pivotField showAll="0"/>
    <pivotField showAll="0"/>
    <pivotField showAll="0"/>
    <pivotField showAll="0"/>
    <pivotField showAll="0"/>
    <pivotField showAll="0"/>
    <pivotField showAll="0"/>
    <pivotField showAll="0">
      <items count="7">
        <item m="1" x="5"/>
        <item x="2"/>
        <item x="0"/>
        <item m="1" x="4"/>
        <item m="1" x="3"/>
        <item x="1"/>
        <item t="default"/>
      </items>
    </pivotField>
    <pivotField numFmtId="44" showAll="0"/>
    <pivotField dataField="1" numFmtId="44" showAll="0"/>
  </pivotFields>
  <rowFields count="1">
    <field x="1"/>
  </rowFields>
  <rowItems count="5">
    <i>
      <x v="3"/>
    </i>
    <i>
      <x v="4"/>
    </i>
    <i>
      <x v="5"/>
    </i>
    <i>
      <x v="6"/>
    </i>
    <i t="grand">
      <x/>
    </i>
  </rowItems>
  <colFields count="1">
    <field x="2"/>
  </colFields>
  <colItems count="4">
    <i>
      <x/>
    </i>
    <i>
      <x v="1"/>
    </i>
    <i>
      <x v="2"/>
    </i>
    <i t="grand">
      <x/>
    </i>
  </colItems>
  <dataFields count="1">
    <dataField name="Sum of Total" fld="12" baseField="1" baseItem="3" numFmtId="42"/>
  </dataFields>
  <chartFormats count="3">
    <chartFormat chart="2" format="6" series="1">
      <pivotArea type="data" outline="0" fieldPosition="0">
        <references count="2">
          <reference field="4294967294" count="1" selected="0">
            <x v="0"/>
          </reference>
          <reference field="2" count="1" selected="0">
            <x v="0"/>
          </reference>
        </references>
      </pivotArea>
    </chartFormat>
    <chartFormat chart="2" format="7" series="1">
      <pivotArea type="data" outline="0" fieldPosition="0">
        <references count="2">
          <reference field="4294967294" count="1" selected="0">
            <x v="0"/>
          </reference>
          <reference field="2" count="1" selected="0">
            <x v="1"/>
          </reference>
        </references>
      </pivotArea>
    </chartFormat>
    <chartFormat chart="2" format="8" series="1">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2FDB287-FCB5-4641-98BA-D9DF127DCEDB}" name="PivotTable7" cacheId="2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A27:B32" firstHeaderRow="1" firstDataRow="1" firstDataCol="1"/>
  <pivotFields count="13">
    <pivotField dataField="1" showAll="0"/>
    <pivotField axis="axisRow" numFmtId="14" showAll="0" sortType="ascending">
      <items count="15">
        <item x="1"/>
        <item x="2"/>
        <item x="3"/>
        <item x="4"/>
        <item x="5"/>
        <item x="6"/>
        <item x="7"/>
        <item x="8"/>
        <item x="9"/>
        <item x="10"/>
        <item x="11"/>
        <item x="12"/>
        <item x="0"/>
        <item x="13"/>
        <item t="default"/>
      </items>
    </pivotField>
    <pivotField showAll="0">
      <items count="4">
        <item x="0"/>
        <item x="2"/>
        <item x="1"/>
        <item t="default"/>
      </items>
    </pivotField>
    <pivotField showAll="0"/>
    <pivotField showAll="0"/>
    <pivotField showAll="0"/>
    <pivotField showAll="0"/>
    <pivotField showAll="0"/>
    <pivotField showAll="0"/>
    <pivotField showAll="0"/>
    <pivotField showAll="0">
      <items count="7">
        <item m="1" x="5"/>
        <item x="2"/>
        <item x="0"/>
        <item m="1" x="4"/>
        <item m="1" x="3"/>
        <item x="1"/>
        <item t="default"/>
      </items>
    </pivotField>
    <pivotField numFmtId="44" showAll="0"/>
    <pivotField numFmtId="44" showAll="0"/>
  </pivotFields>
  <rowFields count="1">
    <field x="1"/>
  </rowFields>
  <rowItems count="5">
    <i>
      <x v="2"/>
    </i>
    <i>
      <x v="3"/>
    </i>
    <i>
      <x v="4"/>
    </i>
    <i>
      <x v="5"/>
    </i>
    <i t="grand">
      <x/>
    </i>
  </rowItems>
  <colItems count="1">
    <i/>
  </colItems>
  <dataFields count="1">
    <dataField name="Count of Ref" fld="0" subtotal="count" baseField="0"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CD8A3C8-2378-4A9D-8260-051E8FCD15D0}" name="PivotTable5" cacheId="2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16:B20" firstHeaderRow="1" firstDataRow="1" firstDataCol="1"/>
  <pivotFields count="13">
    <pivotField showAll="0"/>
    <pivotField numFmtId="164" showAll="0">
      <items count="15">
        <item x="0"/>
        <item x="1"/>
        <item x="2"/>
        <item x="3"/>
        <item x="4"/>
        <item x="5"/>
        <item x="6"/>
        <item x="7"/>
        <item x="8"/>
        <item x="9"/>
        <item x="10"/>
        <item x="11"/>
        <item x="12"/>
        <item x="13"/>
        <item t="default"/>
      </items>
    </pivotField>
    <pivotField showAll="0">
      <items count="4">
        <item x="0"/>
        <item x="2"/>
        <item x="1"/>
        <item t="default"/>
      </items>
    </pivotField>
    <pivotField showAll="0"/>
    <pivotField showAll="0"/>
    <pivotField showAll="0"/>
    <pivotField showAll="0"/>
    <pivotField showAll="0"/>
    <pivotField showAll="0"/>
    <pivotField showAll="0"/>
    <pivotField axis="axisRow" dataField="1" showAll="0" sortType="descending">
      <items count="7">
        <item x="1"/>
        <item m="1" x="3"/>
        <item m="1" x="4"/>
        <item x="0"/>
        <item x="2"/>
        <item m="1" x="5"/>
        <item t="default"/>
      </items>
      <autoSortScope>
        <pivotArea dataOnly="0" outline="0" fieldPosition="0">
          <references count="1">
            <reference field="4294967294" count="1" selected="0">
              <x v="0"/>
            </reference>
          </references>
        </pivotArea>
      </autoSortScope>
    </pivotField>
    <pivotField numFmtId="44" showAll="0"/>
    <pivotField numFmtId="44" showAll="0"/>
  </pivotFields>
  <rowFields count="1">
    <field x="10"/>
  </rowFields>
  <rowItems count="4">
    <i>
      <x/>
    </i>
    <i>
      <x v="3"/>
    </i>
    <i>
      <x v="4"/>
    </i>
    <i t="grand">
      <x/>
    </i>
  </rowItems>
  <colItems count="1">
    <i/>
  </colItems>
  <dataFields count="1">
    <dataField name="Count of Vendor" fld="1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E0AB3C0-0523-4A47-873B-C8F431402DFF}" name="PivotTable2" cacheId="2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3:B7" firstHeaderRow="1" firstDataRow="1" firstDataCol="1"/>
  <pivotFields count="13">
    <pivotField showAll="0"/>
    <pivotField numFmtId="164" showAll="0">
      <items count="15">
        <item x="0"/>
        <item x="1"/>
        <item x="2"/>
        <item x="3"/>
        <item x="4"/>
        <item x="5"/>
        <item x="6"/>
        <item x="7"/>
        <item x="8"/>
        <item x="9"/>
        <item x="10"/>
        <item x="11"/>
        <item x="12"/>
        <item x="13"/>
        <item t="default"/>
      </items>
    </pivotField>
    <pivotField axis="axisRow" showAll="0">
      <items count="4">
        <item x="0"/>
        <item x="2"/>
        <item x="1"/>
        <item t="default"/>
      </items>
    </pivotField>
    <pivotField showAll="0"/>
    <pivotField showAll="0"/>
    <pivotField showAll="0"/>
    <pivotField showAll="0"/>
    <pivotField showAll="0"/>
    <pivotField showAll="0"/>
    <pivotField showAll="0"/>
    <pivotField showAll="0">
      <items count="7">
        <item m="1" x="5"/>
        <item x="2"/>
        <item x="0"/>
        <item m="1" x="4"/>
        <item m="1" x="3"/>
        <item x="1"/>
        <item t="default"/>
      </items>
    </pivotField>
    <pivotField numFmtId="44" showAll="0"/>
    <pivotField dataField="1" numFmtId="44" showAll="0"/>
  </pivotFields>
  <rowFields count="1">
    <field x="2"/>
  </rowFields>
  <rowItems count="4">
    <i>
      <x/>
    </i>
    <i>
      <x v="1"/>
    </i>
    <i>
      <x v="2"/>
    </i>
    <i t="grand">
      <x/>
    </i>
  </rowItems>
  <colItems count="1">
    <i/>
  </colItems>
  <dataFields count="1">
    <dataField name="Sum of Total" fld="12" baseField="2" baseItem="0" numFmtId="2"/>
  </dataFields>
  <chartFormats count="3">
    <chartFormat chart="2" format="2" series="1">
      <pivotArea type="data" outline="0" fieldPosition="0">
        <references count="1">
          <reference field="4294967294" count="1" selected="0">
            <x v="0"/>
          </reference>
        </references>
      </pivotArea>
    </chartFormat>
    <chartFormat chart="2" format="3">
      <pivotArea type="data" outline="0" fieldPosition="0">
        <references count="2">
          <reference field="4294967294" count="1" selected="0">
            <x v="0"/>
          </reference>
          <reference field="2" count="1" selected="0">
            <x v="1"/>
          </reference>
        </references>
      </pivotArea>
    </chartFormat>
    <chartFormat chart="2" format="4">
      <pivotArea type="data" outline="0" fieldPosition="0">
        <references count="2">
          <reference field="4294967294" count="1" selected="0">
            <x v="0"/>
          </reference>
          <reference field="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ndor" xr10:uid="{47C6682E-932C-4015-A099-732EF6434868}" sourceName="Vendor">
  <pivotTables>
    <pivotTable tabId="6" name="PivotTable2"/>
    <pivotTable tabId="6" name="PivotTable5"/>
    <pivotTable tabId="6" name="PivotTable7"/>
    <pivotTable tabId="6" name="PivotTable9"/>
  </pivotTables>
  <data>
    <tabular pivotCacheId="227241961">
      <items count="6">
        <i x="2" s="1"/>
        <i x="0" s="1"/>
        <i x="1" s="1"/>
        <i x="5" s="1" nd="1"/>
        <i x="4" s="1" nd="1"/>
        <i x="3"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7E7F2BC1-6DF2-4E2D-8218-8087085A4316}" sourceName="Department">
  <pivotTables>
    <pivotTable tabId="6" name="PivotTable2"/>
    <pivotTable tabId="6" name="PivotTable5"/>
    <pivotTable tabId="6" name="PivotTable7"/>
    <pivotTable tabId="6" name="PivotTable9"/>
  </pivotTables>
  <data>
    <tabular pivotCacheId="227241961">
      <items count="3">
        <i x="0" s="1"/>
        <i x="2"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ubmitted_Time" xr10:uid="{B5641BCD-8794-419E-9CEA-8D0E079C1DC9}" sourceName="Submitted Time">
  <pivotTables>
    <pivotTable tabId="6" name="PivotTable7"/>
    <pivotTable tabId="6" name="PivotTable2"/>
    <pivotTable tabId="6" name="PivotTable5"/>
    <pivotTable tabId="6" name="PivotTable9"/>
  </pivotTables>
  <data>
    <tabular pivotCacheId="227241961">
      <items count="14">
        <i x="3" s="1"/>
        <i x="4" s="1"/>
        <i x="5" s="1"/>
        <i x="6" s="1"/>
        <i x="1" s="1" nd="1"/>
        <i x="2" s="1" nd="1"/>
        <i x="7" s="1" nd="1"/>
        <i x="8" s="1" nd="1"/>
        <i x="9" s="1" nd="1"/>
        <i x="10" s="1" nd="1"/>
        <i x="11" s="1" nd="1"/>
        <i x="12" s="1" nd="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ndor" xr10:uid="{724C2495-7FAF-48D0-99CB-B275C8FEFB03}" cache="Slicer_Vendor" caption="Vendor" columnCount="2" rowHeight="241300"/>
  <slicer name="Department" xr10:uid="{D54D7091-CF1C-4FCA-9E07-07010B0022D4}" cache="Slicer_Department" caption="Department" rowHeight="241300"/>
  <slicer name="Date" xr10:uid="{909D9DE7-D91E-4805-8C04-BC09BA4064F2}" cache="Slicer_Submitted_Time" caption="Date" columnCount="2"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B2BED0-E20A-4BA8-A47E-95A824ED311C}" name="Table1" displayName="Table1" ref="B5:N14" totalsRowShown="0" headerRowDxfId="16" dataDxfId="14" headerRowBorderDxfId="15" tableBorderDxfId="13">
  <tableColumns count="13">
    <tableColumn id="1" xr3:uid="{590B53C9-4CBA-4252-AF08-87450A7DC2C7}" name="Ref" dataDxfId="2"/>
    <tableColumn id="2" xr3:uid="{D80A6EF6-04C1-4CBB-B5EE-6210F1B5D90E}" name="Submitted Time" dataDxfId="0"/>
    <tableColumn id="3" xr3:uid="{F1395B26-C750-42C4-9BC0-6E366568528E}" name="Department" dataDxfId="1"/>
    <tableColumn id="4" xr3:uid="{D47602C1-8BDB-4180-A5B8-6FCEBDDA8384}" name="First Name" dataDxfId="12"/>
    <tableColumn id="5" xr3:uid="{27DA35A1-A435-44F4-A606-C83F66765058}" name="Last Name" dataDxfId="11"/>
    <tableColumn id="6" xr3:uid="{F29BE3CA-07E0-40EF-BD18-770E9150875E}" name="Item Name" dataDxfId="10"/>
    <tableColumn id="7" xr3:uid="{19657477-51C8-4529-BC69-4A1AED67E2A3}" name="Item Number" dataDxfId="9"/>
    <tableColumn id="8" xr3:uid="{9A6D2B04-93C6-481D-9B58-DF17358D1C40}" name="Item Description" dataDxfId="8"/>
    <tableColumn id="9" xr3:uid="{EF33BB91-F649-41F6-A1E7-CD996C2D7AD0}" name="Quantity" dataDxfId="7"/>
    <tableColumn id="10" xr3:uid="{3358D5C8-9F22-43A5-BC56-394FD1907BC7}" name="Unit of Measure" dataDxfId="6"/>
    <tableColumn id="11" xr3:uid="{44D729D1-3420-4038-8804-3C192DA970C4}" name="Vendor" dataDxfId="5"/>
    <tableColumn id="12" xr3:uid="{72C218D6-2088-46AC-AEFA-B5C2E506F7FA}" name="Price Per Item" dataDxfId="4" dataCellStyle="Currency"/>
    <tableColumn id="13" xr3:uid="{D5667456-BC7B-4E55-97A4-76101636CD6C}" name="Total" dataDxfId="3">
      <calculatedColumnFormula>Table1[[#This Row],[Price Per Item]]*Table1[[#This Row],[Quantity]]</calculatedColumnFormula>
    </tableColumn>
  </tableColumns>
  <tableStyleInfo name="TableStyleMedium23"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microsoft.com/office/2007/relationships/slicer" Target="../slicers/slicer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3613D-E5B8-45F9-A3B5-3D3747528AA8}">
  <sheetPr codeName="Sheet4">
    <pageSetUpPr fitToPage="1"/>
  </sheetPr>
  <dimension ref="B1:V2"/>
  <sheetViews>
    <sheetView showGridLines="0" tabSelected="1" workbookViewId="0">
      <selection activeCell="U32" sqref="U32"/>
    </sheetView>
  </sheetViews>
  <sheetFormatPr defaultRowHeight="15" x14ac:dyDescent="0.25"/>
  <cols>
    <col min="1" max="1" width="3.7109375" customWidth="1"/>
    <col min="6" max="6" width="4" customWidth="1"/>
  </cols>
  <sheetData>
    <row r="1" spans="2:22" ht="5.25" customHeight="1" thickBot="1" x14ac:dyDescent="0.3"/>
    <row r="2" spans="2:22" ht="45.75" customHeight="1" thickBot="1" x14ac:dyDescent="0.3">
      <c r="B2" s="31" t="s">
        <v>71</v>
      </c>
      <c r="C2" s="32"/>
      <c r="D2" s="32"/>
      <c r="E2" s="33"/>
      <c r="G2" s="28" t="s">
        <v>70</v>
      </c>
      <c r="H2" s="29"/>
      <c r="I2" s="29"/>
      <c r="J2" s="29"/>
      <c r="K2" s="29"/>
      <c r="L2" s="29"/>
      <c r="M2" s="29"/>
      <c r="N2" s="29"/>
      <c r="O2" s="29"/>
      <c r="P2" s="29"/>
      <c r="Q2" s="29"/>
      <c r="R2" s="29"/>
      <c r="S2" s="29"/>
      <c r="T2" s="29"/>
      <c r="U2" s="29"/>
      <c r="V2" s="30"/>
    </row>
  </sheetData>
  <mergeCells count="2">
    <mergeCell ref="G2:V2"/>
    <mergeCell ref="B2:E2"/>
  </mergeCells>
  <pageMargins left="0.7" right="0.7" top="0.75" bottom="0.75" header="0.3" footer="0.3"/>
  <pageSetup paperSize="135" scale="29" orientation="landscape" horizontalDpi="203" verticalDpi="203"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Workbook_RefreshAll">
                <anchor moveWithCells="1" sizeWithCells="1">
                  <from>
                    <xdr:col>1</xdr:col>
                    <xdr:colOff>0</xdr:colOff>
                    <xdr:row>2</xdr:row>
                    <xdr:rowOff>57150</xdr:rowOff>
                  </from>
                  <to>
                    <xdr:col>4</xdr:col>
                    <xdr:colOff>609600</xdr:colOff>
                    <xdr:row>5</xdr:row>
                    <xdr:rowOff>0</xdr:rowOff>
                  </to>
                </anchor>
              </controlPr>
            </control>
          </mc:Choice>
        </mc:AlternateContent>
      </controls>
    </mc:Choice>
  </mc:AlternateContent>
  <extLst>
    <ext xmlns:x14="http://schemas.microsoft.com/office/spreadsheetml/2009/9/main" uri="{A8765BA9-456A-4dab-B4F3-ACF838C121DE}">
      <x14:slicerList>
        <x14:slicer r:id="rId5"/>
      </x14:slicerList>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F47E4-AB21-4837-A347-750C7CCDAF08}">
  <sheetPr codeName="Sheet1"/>
  <dimension ref="B1:S14"/>
  <sheetViews>
    <sheetView showGridLines="0" zoomScale="130" zoomScaleNormal="130" workbookViewId="0">
      <pane ySplit="5" topLeftCell="A6" activePane="bottomLeft" state="frozen"/>
      <selection pane="bottomLeft" activeCell="H18" sqref="H18"/>
    </sheetView>
  </sheetViews>
  <sheetFormatPr defaultRowHeight="15" x14ac:dyDescent="0.25"/>
  <cols>
    <col min="1" max="1" width="3.7109375" customWidth="1"/>
    <col min="2" max="2" width="12.5703125" customWidth="1"/>
    <col min="3" max="3" width="16.85546875" style="15" bestFit="1" customWidth="1"/>
    <col min="4" max="4" width="15.140625" bestFit="1" customWidth="1"/>
    <col min="5" max="5" width="11.28515625" customWidth="1"/>
    <col min="6" max="6" width="10.85546875" customWidth="1"/>
    <col min="7" max="7" width="11.5703125" customWidth="1"/>
    <col min="8" max="8" width="13.42578125" customWidth="1"/>
    <col min="9" max="9" width="21.85546875" bestFit="1" customWidth="1"/>
    <col min="10" max="10" width="9.42578125" customWidth="1"/>
    <col min="11" max="11" width="15.7109375" customWidth="1"/>
    <col min="12" max="12" width="13.7109375" customWidth="1"/>
    <col min="13" max="13" width="15" style="11" customWidth="1"/>
    <col min="14" max="14" width="11.140625" bestFit="1" customWidth="1"/>
  </cols>
  <sheetData>
    <row r="1" spans="2:19" ht="15.75" thickBot="1" x14ac:dyDescent="0.3"/>
    <row r="2" spans="2:19" ht="27.75" customHeight="1" thickBot="1" x14ac:dyDescent="0.5">
      <c r="B2" s="5" t="s">
        <v>0</v>
      </c>
      <c r="C2" s="16"/>
      <c r="D2" s="6"/>
      <c r="E2" s="7"/>
      <c r="F2" s="7"/>
      <c r="G2" s="7"/>
      <c r="H2" s="7"/>
      <c r="I2" s="7"/>
      <c r="J2" s="7"/>
      <c r="K2" s="7"/>
      <c r="L2" s="7"/>
      <c r="M2" s="12"/>
      <c r="N2" s="7"/>
      <c r="O2" s="7"/>
      <c r="P2" s="7"/>
      <c r="Q2" s="7"/>
      <c r="R2" s="7"/>
      <c r="S2" s="8"/>
    </row>
    <row r="4" spans="2:19" ht="27" customHeight="1" x14ac:dyDescent="0.25"/>
    <row r="5" spans="2:19" ht="35.25" customHeight="1" thickBot="1" x14ac:dyDescent="0.3">
      <c r="B5" s="9" t="s">
        <v>1</v>
      </c>
      <c r="C5" s="17" t="s">
        <v>15</v>
      </c>
      <c r="D5" s="10" t="s">
        <v>2</v>
      </c>
      <c r="E5" s="10" t="s">
        <v>3</v>
      </c>
      <c r="F5" s="10" t="s">
        <v>4</v>
      </c>
      <c r="G5" s="10" t="s">
        <v>5</v>
      </c>
      <c r="H5" s="10" t="s">
        <v>6</v>
      </c>
      <c r="I5" s="10" t="s">
        <v>7</v>
      </c>
      <c r="J5" s="10" t="s">
        <v>8</v>
      </c>
      <c r="K5" s="10" t="s">
        <v>9</v>
      </c>
      <c r="L5" s="10" t="s">
        <v>10</v>
      </c>
      <c r="M5" s="19" t="s">
        <v>12</v>
      </c>
      <c r="N5" s="13" t="s">
        <v>33</v>
      </c>
    </row>
    <row r="6" spans="2:19" x14ac:dyDescent="0.25">
      <c r="B6" s="1">
        <v>1</v>
      </c>
      <c r="C6" s="24">
        <v>43920</v>
      </c>
      <c r="D6" s="1" t="s">
        <v>43</v>
      </c>
      <c r="E6" s="1" t="s">
        <v>16</v>
      </c>
      <c r="F6" s="1" t="s">
        <v>17</v>
      </c>
      <c r="G6" s="1" t="s">
        <v>18</v>
      </c>
      <c r="H6" s="1">
        <v>9491</v>
      </c>
      <c r="I6" s="1" t="s">
        <v>19</v>
      </c>
      <c r="J6" s="1">
        <v>10</v>
      </c>
      <c r="K6" s="1" t="s">
        <v>11</v>
      </c>
      <c r="L6" s="1" t="s">
        <v>20</v>
      </c>
      <c r="M6" s="14">
        <v>93</v>
      </c>
      <c r="N6" s="18">
        <f>Table1[[#This Row],[Price Per Item]]*Table1[[#This Row],[Quantity]]</f>
        <v>930</v>
      </c>
    </row>
    <row r="7" spans="2:19" x14ac:dyDescent="0.25">
      <c r="B7" s="1">
        <v>2</v>
      </c>
      <c r="C7" s="24">
        <v>43924.208333333336</v>
      </c>
      <c r="D7" s="1" t="s">
        <v>45</v>
      </c>
      <c r="E7" s="1" t="s">
        <v>16</v>
      </c>
      <c r="F7" s="1" t="s">
        <v>17</v>
      </c>
      <c r="G7" s="1" t="s">
        <v>18</v>
      </c>
      <c r="H7" s="1">
        <v>9491</v>
      </c>
      <c r="I7" s="1" t="s">
        <v>19</v>
      </c>
      <c r="J7" s="1">
        <v>10</v>
      </c>
      <c r="K7" s="1" t="s">
        <v>11</v>
      </c>
      <c r="L7" s="1" t="s">
        <v>20</v>
      </c>
      <c r="M7" s="14">
        <v>93</v>
      </c>
      <c r="N7" s="18">
        <f>Table1[[#This Row],[Price Per Item]]*Table1[[#This Row],[Quantity]]</f>
        <v>930</v>
      </c>
    </row>
    <row r="8" spans="2:19" x14ac:dyDescent="0.25">
      <c r="B8" s="1">
        <v>3</v>
      </c>
      <c r="C8" s="24">
        <v>43932.375</v>
      </c>
      <c r="D8" s="1" t="s">
        <v>43</v>
      </c>
      <c r="E8" s="1" t="s">
        <v>23</v>
      </c>
      <c r="F8" s="1" t="s">
        <v>24</v>
      </c>
      <c r="G8" s="1" t="s">
        <v>25</v>
      </c>
      <c r="H8" s="1" t="s">
        <v>26</v>
      </c>
      <c r="I8" s="1" t="s">
        <v>27</v>
      </c>
      <c r="J8" s="1">
        <v>92</v>
      </c>
      <c r="K8" s="1" t="s">
        <v>21</v>
      </c>
      <c r="L8" s="1" t="s">
        <v>54</v>
      </c>
      <c r="M8" s="14">
        <v>13</v>
      </c>
      <c r="N8" s="18">
        <f>Table1[[#This Row],[Price Per Item]]*Table1[[#This Row],[Quantity]]</f>
        <v>1196</v>
      </c>
    </row>
    <row r="9" spans="2:19" x14ac:dyDescent="0.25">
      <c r="B9" s="1">
        <v>4</v>
      </c>
      <c r="C9" s="24">
        <v>43935</v>
      </c>
      <c r="D9" s="1" t="s">
        <v>45</v>
      </c>
      <c r="E9" s="1" t="s">
        <v>28</v>
      </c>
      <c r="F9" s="1" t="s">
        <v>29</v>
      </c>
      <c r="G9" s="1" t="s">
        <v>30</v>
      </c>
      <c r="H9" s="1" t="s">
        <v>31</v>
      </c>
      <c r="I9" s="1" t="s">
        <v>32</v>
      </c>
      <c r="J9" s="1">
        <v>100</v>
      </c>
      <c r="K9" s="1" t="s">
        <v>21</v>
      </c>
      <c r="L9" s="1" t="s">
        <v>20</v>
      </c>
      <c r="M9" s="14">
        <v>5</v>
      </c>
      <c r="N9" s="18">
        <f>Table1[[#This Row],[Price Per Item]]*Table1[[#This Row],[Quantity]]</f>
        <v>500</v>
      </c>
    </row>
    <row r="10" spans="2:19" x14ac:dyDescent="0.25">
      <c r="B10" s="1">
        <v>5</v>
      </c>
      <c r="C10" s="24">
        <v>43945.041666666664</v>
      </c>
      <c r="D10" s="1" t="s">
        <v>43</v>
      </c>
      <c r="E10" s="1" t="s">
        <v>34</v>
      </c>
      <c r="F10" s="1" t="s">
        <v>35</v>
      </c>
      <c r="G10" s="1" t="s">
        <v>36</v>
      </c>
      <c r="H10" s="1">
        <v>93859193</v>
      </c>
      <c r="I10" s="1" t="s">
        <v>37</v>
      </c>
      <c r="J10" s="1">
        <v>10</v>
      </c>
      <c r="K10" s="1" t="s">
        <v>21</v>
      </c>
      <c r="L10" s="1" t="s">
        <v>54</v>
      </c>
      <c r="M10" s="14">
        <v>30</v>
      </c>
      <c r="N10" s="18">
        <f>Table1[[#This Row],[Price Per Item]]*Table1[[#This Row],[Quantity]]</f>
        <v>300</v>
      </c>
    </row>
    <row r="11" spans="2:19" x14ac:dyDescent="0.25">
      <c r="B11" s="1">
        <v>6</v>
      </c>
      <c r="C11" s="24">
        <v>43972.333333333336</v>
      </c>
      <c r="D11" s="1" t="s">
        <v>44</v>
      </c>
      <c r="E11" s="1" t="s">
        <v>39</v>
      </c>
      <c r="F11" s="1" t="s">
        <v>40</v>
      </c>
      <c r="G11" s="1" t="s">
        <v>41</v>
      </c>
      <c r="H11" s="1">
        <v>137413</v>
      </c>
      <c r="I11" s="1" t="s">
        <v>42</v>
      </c>
      <c r="J11" s="1">
        <v>1200</v>
      </c>
      <c r="K11" s="1" t="s">
        <v>21</v>
      </c>
      <c r="L11" s="1" t="s">
        <v>38</v>
      </c>
      <c r="M11" s="14">
        <v>0.3</v>
      </c>
      <c r="N11" s="18">
        <f>Table1[[#This Row],[Price Per Item]]*Table1[[#This Row],[Quantity]]</f>
        <v>360</v>
      </c>
    </row>
    <row r="12" spans="2:19" x14ac:dyDescent="0.25">
      <c r="B12" s="1">
        <v>7</v>
      </c>
      <c r="C12" s="24">
        <v>43973.416666666664</v>
      </c>
      <c r="D12" s="1" t="s">
        <v>44</v>
      </c>
      <c r="E12" s="1" t="s">
        <v>50</v>
      </c>
      <c r="F12" s="1" t="s">
        <v>51</v>
      </c>
      <c r="G12" s="1" t="s">
        <v>52</v>
      </c>
      <c r="H12" s="1">
        <v>48411</v>
      </c>
      <c r="I12" s="1" t="s">
        <v>53</v>
      </c>
      <c r="J12" s="1">
        <v>2</v>
      </c>
      <c r="K12" s="1" t="s">
        <v>21</v>
      </c>
      <c r="L12" s="1" t="s">
        <v>54</v>
      </c>
      <c r="M12" s="14">
        <v>4</v>
      </c>
      <c r="N12" s="18">
        <f>Table1[[#This Row],[Price Per Item]]*Table1[[#This Row],[Quantity]]</f>
        <v>8</v>
      </c>
    </row>
    <row r="13" spans="2:19" x14ac:dyDescent="0.25">
      <c r="B13" s="1">
        <v>8</v>
      </c>
      <c r="C13" s="24">
        <v>43982</v>
      </c>
      <c r="D13" s="1" t="s">
        <v>45</v>
      </c>
      <c r="E13" s="1" t="s">
        <v>57</v>
      </c>
      <c r="F13" s="1" t="s">
        <v>58</v>
      </c>
      <c r="G13" s="1" t="s">
        <v>59</v>
      </c>
      <c r="H13" s="1">
        <v>941894</v>
      </c>
      <c r="I13" s="1" t="s">
        <v>60</v>
      </c>
      <c r="J13" s="1">
        <v>2</v>
      </c>
      <c r="K13" s="1" t="s">
        <v>21</v>
      </c>
      <c r="L13" s="1" t="s">
        <v>38</v>
      </c>
      <c r="M13" s="14">
        <v>200</v>
      </c>
      <c r="N13" s="18">
        <f>Table1[[#This Row],[Price Per Item]]*Table1[[#This Row],[Quantity]]</f>
        <v>400</v>
      </c>
    </row>
    <row r="14" spans="2:19" x14ac:dyDescent="0.25">
      <c r="B14" s="1">
        <v>9</v>
      </c>
      <c r="C14" s="24">
        <v>43983.083333333336</v>
      </c>
      <c r="D14" s="1" t="s">
        <v>44</v>
      </c>
      <c r="E14" s="1" t="s">
        <v>61</v>
      </c>
      <c r="F14" s="1" t="s">
        <v>62</v>
      </c>
      <c r="G14" s="1" t="s">
        <v>63</v>
      </c>
      <c r="H14" s="1">
        <v>9495</v>
      </c>
      <c r="I14" s="1" t="s">
        <v>64</v>
      </c>
      <c r="J14" s="1">
        <v>90</v>
      </c>
      <c r="K14" s="1" t="s">
        <v>21</v>
      </c>
      <c r="L14" s="1" t="s">
        <v>54</v>
      </c>
      <c r="M14" s="14">
        <v>0.5</v>
      </c>
      <c r="N14" s="18">
        <f>Table1[[#This Row],[Price Per Item]]*Table1[[#This Row],[Quantity]]</f>
        <v>45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ShowOrderForm">
                <anchor moveWithCells="1" sizeWithCells="1">
                  <from>
                    <xdr:col>1</xdr:col>
                    <xdr:colOff>0</xdr:colOff>
                    <xdr:row>3</xdr:row>
                    <xdr:rowOff>0</xdr:rowOff>
                  </from>
                  <to>
                    <xdr:col>3</xdr:col>
                    <xdr:colOff>1123950</xdr:colOff>
                    <xdr:row>4</xdr:row>
                    <xdr:rowOff>0</xdr:rowOff>
                  </to>
                </anchor>
              </controlPr>
            </control>
          </mc:Choice>
        </mc:AlternateContent>
      </controls>
    </mc:Choice>
  </mc:AlternateContent>
  <tableParts count="1">
    <tablePart r:id="rId4"/>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FDAF42-54E4-4FF1-814E-4549E6B77201}">
  <sheetPr codeName="Sheet6"/>
  <dimension ref="A2:E44"/>
  <sheetViews>
    <sheetView workbookViewId="0">
      <selection activeCell="J41" sqref="J41"/>
    </sheetView>
  </sheetViews>
  <sheetFormatPr defaultRowHeight="15" x14ac:dyDescent="0.25"/>
  <cols>
    <col min="1" max="1" width="13.140625" bestFit="1" customWidth="1"/>
    <col min="2" max="2" width="16.28515625" bestFit="1" customWidth="1"/>
    <col min="3" max="4" width="13.28515625" bestFit="1" customWidth="1"/>
    <col min="5" max="5" width="11.28515625" bestFit="1" customWidth="1"/>
    <col min="6" max="6" width="10.42578125" bestFit="1" customWidth="1"/>
    <col min="7" max="7" width="11.28515625" bestFit="1" customWidth="1"/>
  </cols>
  <sheetData>
    <row r="2" spans="1:2" x14ac:dyDescent="0.25">
      <c r="A2" t="s">
        <v>55</v>
      </c>
    </row>
    <row r="3" spans="1:2" x14ac:dyDescent="0.25">
      <c r="A3" s="20" t="s">
        <v>46</v>
      </c>
      <c r="B3" t="s">
        <v>48</v>
      </c>
    </row>
    <row r="4" spans="1:2" x14ac:dyDescent="0.25">
      <c r="A4" s="21" t="s">
        <v>43</v>
      </c>
      <c r="B4" s="23">
        <v>2426</v>
      </c>
    </row>
    <row r="5" spans="1:2" x14ac:dyDescent="0.25">
      <c r="A5" s="21" t="s">
        <v>44</v>
      </c>
      <c r="B5" s="23">
        <v>413</v>
      </c>
    </row>
    <row r="6" spans="1:2" x14ac:dyDescent="0.25">
      <c r="A6" s="21" t="s">
        <v>45</v>
      </c>
      <c r="B6" s="23">
        <v>1830</v>
      </c>
    </row>
    <row r="7" spans="1:2" x14ac:dyDescent="0.25">
      <c r="A7" s="21" t="s">
        <v>47</v>
      </c>
      <c r="B7" s="23">
        <v>4669</v>
      </c>
    </row>
    <row r="16" spans="1:2" x14ac:dyDescent="0.25">
      <c r="A16" s="20" t="s">
        <v>46</v>
      </c>
      <c r="B16" t="s">
        <v>56</v>
      </c>
    </row>
    <row r="17" spans="1:2" x14ac:dyDescent="0.25">
      <c r="A17" s="21" t="s">
        <v>54</v>
      </c>
      <c r="B17" s="22">
        <v>4</v>
      </c>
    </row>
    <row r="18" spans="1:2" x14ac:dyDescent="0.25">
      <c r="A18" s="21" t="s">
        <v>20</v>
      </c>
      <c r="B18" s="22">
        <v>3</v>
      </c>
    </row>
    <row r="19" spans="1:2" x14ac:dyDescent="0.25">
      <c r="A19" s="21" t="s">
        <v>38</v>
      </c>
      <c r="B19" s="22">
        <v>2</v>
      </c>
    </row>
    <row r="20" spans="1:2" x14ac:dyDescent="0.25">
      <c r="A20" s="21" t="s">
        <v>47</v>
      </c>
      <c r="B20" s="22">
        <v>9</v>
      </c>
    </row>
    <row r="27" spans="1:2" x14ac:dyDescent="0.25">
      <c r="A27" s="20" t="s">
        <v>46</v>
      </c>
      <c r="B27" t="s">
        <v>65</v>
      </c>
    </row>
    <row r="28" spans="1:2" x14ac:dyDescent="0.25">
      <c r="A28" s="26" t="s">
        <v>66</v>
      </c>
      <c r="B28" s="22">
        <v>1</v>
      </c>
    </row>
    <row r="29" spans="1:2" x14ac:dyDescent="0.25">
      <c r="A29" s="26" t="s">
        <v>67</v>
      </c>
      <c r="B29" s="22">
        <v>4</v>
      </c>
    </row>
    <row r="30" spans="1:2" x14ac:dyDescent="0.25">
      <c r="A30" s="26" t="s">
        <v>68</v>
      </c>
      <c r="B30" s="22">
        <v>3</v>
      </c>
    </row>
    <row r="31" spans="1:2" x14ac:dyDescent="0.25">
      <c r="A31" s="26" t="s">
        <v>69</v>
      </c>
      <c r="B31" s="22">
        <v>1</v>
      </c>
    </row>
    <row r="32" spans="1:2" x14ac:dyDescent="0.25">
      <c r="A32" s="26" t="s">
        <v>47</v>
      </c>
      <c r="B32" s="22">
        <v>9</v>
      </c>
    </row>
    <row r="38" spans="1:5" x14ac:dyDescent="0.25">
      <c r="A38" s="20" t="s">
        <v>48</v>
      </c>
      <c r="B38" s="20" t="s">
        <v>49</v>
      </c>
    </row>
    <row r="39" spans="1:5" x14ac:dyDescent="0.25">
      <c r="A39" s="20" t="s">
        <v>46</v>
      </c>
      <c r="B39" t="s">
        <v>43</v>
      </c>
      <c r="C39" t="s">
        <v>44</v>
      </c>
      <c r="D39" t="s">
        <v>45</v>
      </c>
      <c r="E39" t="s">
        <v>47</v>
      </c>
    </row>
    <row r="40" spans="1:5" x14ac:dyDescent="0.25">
      <c r="A40" s="25" t="s">
        <v>66</v>
      </c>
      <c r="B40" s="27">
        <v>930</v>
      </c>
      <c r="C40" s="27"/>
      <c r="D40" s="27"/>
      <c r="E40" s="27">
        <v>930</v>
      </c>
    </row>
    <row r="41" spans="1:5" x14ac:dyDescent="0.25">
      <c r="A41" s="25" t="s">
        <v>67</v>
      </c>
      <c r="B41" s="27">
        <v>1496</v>
      </c>
      <c r="C41" s="27"/>
      <c r="D41" s="27">
        <v>1430</v>
      </c>
      <c r="E41" s="27">
        <v>2926</v>
      </c>
    </row>
    <row r="42" spans="1:5" x14ac:dyDescent="0.25">
      <c r="A42" s="25" t="s">
        <v>68</v>
      </c>
      <c r="B42" s="27"/>
      <c r="C42" s="27">
        <v>368</v>
      </c>
      <c r="D42" s="27">
        <v>400</v>
      </c>
      <c r="E42" s="27">
        <v>768</v>
      </c>
    </row>
    <row r="43" spans="1:5" x14ac:dyDescent="0.25">
      <c r="A43" s="25" t="s">
        <v>69</v>
      </c>
      <c r="B43" s="27"/>
      <c r="C43" s="27">
        <v>45</v>
      </c>
      <c r="D43" s="27"/>
      <c r="E43" s="27">
        <v>45</v>
      </c>
    </row>
    <row r="44" spans="1:5" x14ac:dyDescent="0.25">
      <c r="A44" s="25" t="s">
        <v>47</v>
      </c>
      <c r="B44" s="27">
        <v>2426</v>
      </c>
      <c r="C44" s="27">
        <v>413</v>
      </c>
      <c r="D44" s="27">
        <v>1830</v>
      </c>
      <c r="E44" s="27">
        <v>4669</v>
      </c>
    </row>
  </sheetData>
  <autoFilter ref="A16:B20" xr:uid="{3A359277-702E-4D45-AC6F-6906E25384DD}"/>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165C4-3DDA-4F66-AA2D-036E177C125E}">
  <sheetPr codeName="Sheet2"/>
  <dimension ref="B1:C5"/>
  <sheetViews>
    <sheetView workbookViewId="0">
      <selection activeCell="D14" sqref="D14"/>
    </sheetView>
  </sheetViews>
  <sheetFormatPr defaultRowHeight="15" x14ac:dyDescent="0.25"/>
  <cols>
    <col min="2" max="2" width="17.5703125" bestFit="1" customWidth="1"/>
  </cols>
  <sheetData>
    <row r="1" spans="2:3" ht="15.75" thickBot="1" x14ac:dyDescent="0.3"/>
    <row r="2" spans="2:3" ht="15.75" thickBot="1" x14ac:dyDescent="0.3">
      <c r="B2" s="2" t="s">
        <v>2</v>
      </c>
      <c r="C2" t="s">
        <v>13</v>
      </c>
    </row>
    <row r="3" spans="2:3" x14ac:dyDescent="0.25">
      <c r="B3" s="3" t="s">
        <v>43</v>
      </c>
      <c r="C3" t="s">
        <v>21</v>
      </c>
    </row>
    <row r="4" spans="2:3" x14ac:dyDescent="0.25">
      <c r="B4" s="4" t="s">
        <v>44</v>
      </c>
      <c r="C4" t="s">
        <v>22</v>
      </c>
    </row>
    <row r="5" spans="2:3" x14ac:dyDescent="0.25">
      <c r="B5" s="3" t="s">
        <v>45</v>
      </c>
    </row>
  </sheetData>
  <sortState xmlns:xlrd2="http://schemas.microsoft.com/office/spreadsheetml/2017/richdata2" ref="B3:B5">
    <sortCondition ref="B3"/>
  </sortState>
  <phoneticPr fontId="7"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28F3E-604C-4B26-B0D6-EDA0E8B94F3B}">
  <sheetPr codeName="Sheet3"/>
  <dimension ref="C3:D3"/>
  <sheetViews>
    <sheetView workbookViewId="0">
      <selection activeCell="D4" sqref="D4"/>
    </sheetView>
  </sheetViews>
  <sheetFormatPr defaultRowHeight="15" x14ac:dyDescent="0.25"/>
  <sheetData>
    <row r="3" spans="3:4" x14ac:dyDescent="0.25">
      <c r="C3">
        <f>COUNTA(Data!E:E)-1</f>
        <v>9</v>
      </c>
      <c r="D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1</vt:i4>
      </vt:variant>
    </vt:vector>
  </HeadingPairs>
  <TitlesOfParts>
    <vt:vector size="6" baseType="lpstr">
      <vt:lpstr>Report</vt:lpstr>
      <vt:lpstr>Data</vt:lpstr>
      <vt:lpstr>Pivot_Department_Cost</vt:lpstr>
      <vt:lpstr>Options</vt:lpstr>
      <vt:lpstr>Engine</vt:lpstr>
      <vt:lpstr>Data_Start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Sean Wiin</dc:creator>
  <cp:lastModifiedBy>Sean Wiin</cp:lastModifiedBy>
  <cp:lastPrinted>2020-06-04T18:36:05Z</cp:lastPrinted>
  <dcterms:created xsi:type="dcterms:W3CDTF">2020-06-03T19:34:40Z</dcterms:created>
  <dcterms:modified xsi:type="dcterms:W3CDTF">2020-06-04T19:31:24Z</dcterms:modified>
</cp:coreProperties>
</file>